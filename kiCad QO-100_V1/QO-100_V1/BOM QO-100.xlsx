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a2af41c039634c4/Documenti/QO-100/"/>
    </mc:Choice>
  </mc:AlternateContent>
  <xr:revisionPtr revIDLastSave="29" documentId="8_{90E38F31-98CC-4F66-AB34-1A90D5790908}" xr6:coauthVersionLast="47" xr6:coauthVersionMax="47" xr10:uidLastSave="{7B0417DE-68A6-464C-ADA5-09EE9A4A7CB7}"/>
  <bookViews>
    <workbookView xWindow="30105" yWindow="-510" windowWidth="19455" windowHeight="13545" xr2:uid="{A951B74C-4C17-437E-8CF6-D4C6234DCDCC}"/>
  </bookViews>
  <sheets>
    <sheet name="QO-100" sheetId="2" r:id="rId1"/>
    <sheet name="Sheet1" sheetId="1" r:id="rId2"/>
  </sheets>
  <definedNames>
    <definedName name="ExternalData_1" localSheetId="0" hidden="1">'QO-100'!$A$1:$H$12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" i="2" l="1"/>
  <c r="C19" i="2"/>
  <c r="C18" i="2"/>
  <c r="B19" i="2"/>
  <c r="D19" i="2"/>
  <c r="D18" i="2"/>
  <c r="B18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AFF01CF-59F4-41D2-8C5C-492448986341}" keepAlive="1" name="Query - QO-100" description="Connection to the 'QO-100' query in the workbook." type="5" refreshedVersion="8" background="1" saveData="1">
    <dbPr connection="Provider=Microsoft.Mashup.OleDb.1;Data Source=$Workbook$;Location=QO-100;Extended Properties=&quot;&quot;" command="SELECT * FROM [QO-100]"/>
  </connection>
</connections>
</file>

<file path=xl/sharedStrings.xml><?xml version="1.0" encoding="utf-8"?>
<sst xmlns="http://schemas.openxmlformats.org/spreadsheetml/2006/main" count="96" uniqueCount="49">
  <si>
    <t>Reference</t>
  </si>
  <si>
    <t>Qty</t>
  </si>
  <si>
    <t>Value</t>
  </si>
  <si>
    <t>DNP</t>
  </si>
  <si>
    <t>Exclude from BOM</t>
  </si>
  <si>
    <t>Exclude from Board</t>
  </si>
  <si>
    <t>Footprint</t>
  </si>
  <si>
    <t>Datasheet</t>
  </si>
  <si>
    <t>C1,C3,C7</t>
  </si>
  <si>
    <t>100nF</t>
  </si>
  <si>
    <t/>
  </si>
  <si>
    <t>~</t>
  </si>
  <si>
    <t>C2,C4,C5,C8</t>
  </si>
  <si>
    <t>100uF</t>
  </si>
  <si>
    <t>C6,C9</t>
  </si>
  <si>
    <t>330uF</t>
  </si>
  <si>
    <t>D1</t>
  </si>
  <si>
    <t>D_Zener 50V-20A</t>
  </si>
  <si>
    <t>F1</t>
  </si>
  <si>
    <t>Fuse</t>
  </si>
  <si>
    <t>Fuse:Fuseholder_Clip-5x20mm_Eaton_1A5601-01_Inline_P20.80x6.76mm_D1.70mm_Horizontal</t>
  </si>
  <si>
    <t>J1</t>
  </si>
  <si>
    <t>Jack-DC - in 12-14 vCC</t>
  </si>
  <si>
    <t>J2</t>
  </si>
  <si>
    <t>Screw_Terminal_01x16</t>
  </si>
  <si>
    <t>K1,K2</t>
  </si>
  <si>
    <t>Relay 5V</t>
  </si>
  <si>
    <t>Relay_THT:Relay_SPDT_Finder_40.11</t>
  </si>
  <si>
    <t>https://www.finder-relais.net/de/finder-relais-serie-40.pdf</t>
  </si>
  <si>
    <t>Mod1</t>
  </si>
  <si>
    <t>DC 12V - DC 28V inverter</t>
  </si>
  <si>
    <t>Converter_DCDC:Converter_DCDC_TRACO_TRA3-xxxx_THT</t>
  </si>
  <si>
    <t>https://www.tracopower.com/products/tra3.pdf</t>
  </si>
  <si>
    <t>U1,U2</t>
  </si>
  <si>
    <t>L7805</t>
  </si>
  <si>
    <t>http://www.st.com/content/ccc/resource/technical/document/datasheet/41/4f/b3/b0/12/d4/47/88/CD00000444.pdf/files/CD00000444.pdf/jcr:content/translations/en.CD00000444.pdf</t>
  </si>
  <si>
    <t>U3</t>
  </si>
  <si>
    <t>L7818</t>
  </si>
  <si>
    <t>Rin</t>
  </si>
  <si>
    <t>Rgnd</t>
  </si>
  <si>
    <t>Vin</t>
  </si>
  <si>
    <t>Vout</t>
  </si>
  <si>
    <t>Partitori</t>
  </si>
  <si>
    <t>da mettere a programma</t>
  </si>
  <si>
    <t>Conversion</t>
  </si>
  <si>
    <t>Misura corrente</t>
  </si>
  <si>
    <t>A</t>
  </si>
  <si>
    <t>Shunt ohm</t>
  </si>
  <si>
    <t>V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</si>
</sst>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0" fillId="0" borderId="0" xfId="0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CD36BB4-D78A-4F0C-9B15-F5686841A621}" autoFormatId="16" applyNumberFormats="0" applyBorderFormats="0" applyFontFormats="0" applyPatternFormats="0" applyAlignmentFormats="0" applyWidthHeightFormats="0">
  <queryTableRefresh nextId="9">
    <queryTableFields count="8">
      <queryTableField id="1" name="Reference" tableColumnId="1"/>
      <queryTableField id="2" name="Qty" tableColumnId="2"/>
      <queryTableField id="3" name="Value" tableColumnId="3"/>
      <queryTableField id="4" name="DNP" tableColumnId="4"/>
      <queryTableField id="5" name="Exclude from BOM" tableColumnId="5"/>
      <queryTableField id="6" name="Exclude from Board" tableColumnId="6"/>
      <queryTableField id="7" name="Footprint" tableColumnId="7"/>
      <queryTableField id="8" name="Datasheet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BF6F5D-058F-46F5-9A5D-945C71FCB7A2}" name="QO_100" displayName="QO_100" ref="A1:H12" tableType="queryTable" totalsRowShown="0">
  <autoFilter ref="A1:H12" xr:uid="{0DBF6F5D-058F-46F5-9A5D-945C71FCB7A2}"/>
  <tableColumns count="8">
    <tableColumn id="1" xr3:uid="{DB59EE4E-A648-4184-B55C-2639361CF116}" uniqueName="1" name="Reference" queryTableFieldId="1" dataDxfId="6"/>
    <tableColumn id="2" xr3:uid="{D32FD2F6-EA7E-4387-A555-F87A1F0C3C5B}" uniqueName="2" name="Qty" queryTableFieldId="2"/>
    <tableColumn id="3" xr3:uid="{0D9E985F-6B45-4DE0-84E7-F2A4DAB230C9}" uniqueName="3" name="Value" queryTableFieldId="3" dataDxfId="5"/>
    <tableColumn id="4" xr3:uid="{2444BD31-3073-4B23-AEF1-D6B483B04A01}" uniqueName="4" name="DNP" queryTableFieldId="4" dataDxfId="4"/>
    <tableColumn id="5" xr3:uid="{827AFF7F-DDBA-4CDB-A025-C43683BA6338}" uniqueName="5" name="Exclude from BOM" queryTableFieldId="5" dataDxfId="3"/>
    <tableColumn id="6" xr3:uid="{A4276A71-0473-4EEE-B86A-8C232C784454}" uniqueName="6" name="Exclude from Board" queryTableFieldId="6" dataDxfId="2"/>
    <tableColumn id="7" xr3:uid="{C0DDDD84-52AB-4E4D-B847-7C9CD20D9702}" uniqueName="7" name="Footprint" queryTableFieldId="7" dataDxfId="1"/>
    <tableColumn id="8" xr3:uid="{F481E942-8366-4958-984E-D767B8151DD4}" uniqueName="8" name="Datasheet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CC875-2037-4A1D-90CA-A3F45354338D}">
  <dimension ref="A1:H25"/>
  <sheetViews>
    <sheetView tabSelected="1" workbookViewId="0">
      <selection activeCell="B26" sqref="B26"/>
    </sheetView>
  </sheetViews>
  <sheetFormatPr defaultRowHeight="15" x14ac:dyDescent="0.25"/>
  <cols>
    <col min="1" max="1" width="12.7109375" bestFit="1" customWidth="1"/>
    <col min="2" max="2" width="6.42578125" bestFit="1" customWidth="1"/>
    <col min="3" max="3" width="22" bestFit="1" customWidth="1"/>
    <col min="4" max="4" width="7.28515625" bestFit="1" customWidth="1"/>
    <col min="5" max="5" width="20" bestFit="1" customWidth="1"/>
    <col min="6" max="6" width="21" bestFit="1" customWidth="1"/>
    <col min="7" max="8" width="81.140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 t="s">
        <v>8</v>
      </c>
      <c r="B2">
        <v>3</v>
      </c>
      <c r="C2" s="1" t="s">
        <v>9</v>
      </c>
      <c r="D2" s="1" t="s">
        <v>10</v>
      </c>
      <c r="E2" s="1" t="s">
        <v>10</v>
      </c>
      <c r="F2" s="1" t="s">
        <v>10</v>
      </c>
      <c r="G2" s="1" t="s">
        <v>10</v>
      </c>
      <c r="H2" s="1" t="s">
        <v>11</v>
      </c>
    </row>
    <row r="3" spans="1:8" x14ac:dyDescent="0.25">
      <c r="A3" s="1" t="s">
        <v>12</v>
      </c>
      <c r="B3">
        <v>4</v>
      </c>
      <c r="C3" s="1" t="s">
        <v>13</v>
      </c>
      <c r="D3" s="1" t="s">
        <v>10</v>
      </c>
      <c r="E3" s="1" t="s">
        <v>10</v>
      </c>
      <c r="F3" s="1" t="s">
        <v>10</v>
      </c>
      <c r="G3" s="1" t="s">
        <v>10</v>
      </c>
      <c r="H3" s="1" t="s">
        <v>11</v>
      </c>
    </row>
    <row r="4" spans="1:8" x14ac:dyDescent="0.25">
      <c r="A4" s="1" t="s">
        <v>14</v>
      </c>
      <c r="B4">
        <v>2</v>
      </c>
      <c r="C4" s="1" t="s">
        <v>15</v>
      </c>
      <c r="D4" s="1" t="s">
        <v>10</v>
      </c>
      <c r="E4" s="1" t="s">
        <v>10</v>
      </c>
      <c r="F4" s="1" t="s">
        <v>10</v>
      </c>
      <c r="G4" s="1" t="s">
        <v>10</v>
      </c>
      <c r="H4" s="1" t="s">
        <v>11</v>
      </c>
    </row>
    <row r="5" spans="1:8" x14ac:dyDescent="0.25">
      <c r="A5" s="1" t="s">
        <v>16</v>
      </c>
      <c r="B5">
        <v>1</v>
      </c>
      <c r="C5" s="1" t="s">
        <v>17</v>
      </c>
      <c r="D5" s="1" t="s">
        <v>10</v>
      </c>
      <c r="E5" s="1" t="s">
        <v>10</v>
      </c>
      <c r="F5" s="1" t="s">
        <v>10</v>
      </c>
      <c r="G5" s="1" t="s">
        <v>10</v>
      </c>
      <c r="H5" s="1" t="s">
        <v>11</v>
      </c>
    </row>
    <row r="6" spans="1:8" x14ac:dyDescent="0.25">
      <c r="A6" s="1" t="s">
        <v>18</v>
      </c>
      <c r="B6">
        <v>1</v>
      </c>
      <c r="C6" s="1" t="s">
        <v>19</v>
      </c>
      <c r="D6" s="1" t="s">
        <v>10</v>
      </c>
      <c r="E6" s="1" t="s">
        <v>10</v>
      </c>
      <c r="F6" s="1" t="s">
        <v>10</v>
      </c>
      <c r="G6" s="1" t="s">
        <v>20</v>
      </c>
      <c r="H6" s="1" t="s">
        <v>11</v>
      </c>
    </row>
    <row r="7" spans="1:8" x14ac:dyDescent="0.25">
      <c r="A7" s="1" t="s">
        <v>21</v>
      </c>
      <c r="B7">
        <v>1</v>
      </c>
      <c r="C7" s="1" t="s">
        <v>22</v>
      </c>
      <c r="D7" s="1" t="s">
        <v>10</v>
      </c>
      <c r="E7" s="1" t="s">
        <v>10</v>
      </c>
      <c r="F7" s="1" t="s">
        <v>10</v>
      </c>
      <c r="G7" s="1" t="s">
        <v>10</v>
      </c>
      <c r="H7" s="1" t="s">
        <v>11</v>
      </c>
    </row>
    <row r="8" spans="1:8" x14ac:dyDescent="0.25">
      <c r="A8" s="1" t="s">
        <v>23</v>
      </c>
      <c r="B8">
        <v>1</v>
      </c>
      <c r="C8" s="1" t="s">
        <v>24</v>
      </c>
      <c r="D8" s="1" t="s">
        <v>10</v>
      </c>
      <c r="E8" s="1" t="s">
        <v>10</v>
      </c>
      <c r="F8" s="1" t="s">
        <v>10</v>
      </c>
      <c r="G8" s="1" t="s">
        <v>10</v>
      </c>
      <c r="H8" s="1" t="s">
        <v>11</v>
      </c>
    </row>
    <row r="9" spans="1:8" x14ac:dyDescent="0.25">
      <c r="A9" s="1" t="s">
        <v>25</v>
      </c>
      <c r="B9">
        <v>2</v>
      </c>
      <c r="C9" s="1" t="s">
        <v>26</v>
      </c>
      <c r="D9" s="1" t="s">
        <v>10</v>
      </c>
      <c r="E9" s="1" t="s">
        <v>10</v>
      </c>
      <c r="F9" s="1" t="s">
        <v>10</v>
      </c>
      <c r="G9" s="1" t="s">
        <v>27</v>
      </c>
      <c r="H9" s="1" t="s">
        <v>28</v>
      </c>
    </row>
    <row r="10" spans="1:8" x14ac:dyDescent="0.25">
      <c r="A10" s="1" t="s">
        <v>29</v>
      </c>
      <c r="B10">
        <v>1</v>
      </c>
      <c r="C10" s="1" t="s">
        <v>30</v>
      </c>
      <c r="D10" s="1" t="s">
        <v>10</v>
      </c>
      <c r="E10" s="1" t="s">
        <v>10</v>
      </c>
      <c r="F10" s="1" t="s">
        <v>10</v>
      </c>
      <c r="G10" s="1" t="s">
        <v>31</v>
      </c>
      <c r="H10" s="1" t="s">
        <v>32</v>
      </c>
    </row>
    <row r="11" spans="1:8" x14ac:dyDescent="0.25">
      <c r="A11" s="1" t="s">
        <v>33</v>
      </c>
      <c r="B11">
        <v>2</v>
      </c>
      <c r="C11" s="1" t="s">
        <v>34</v>
      </c>
      <c r="D11" s="1" t="s">
        <v>10</v>
      </c>
      <c r="E11" s="1" t="s">
        <v>10</v>
      </c>
      <c r="F11" s="1" t="s">
        <v>10</v>
      </c>
      <c r="G11" s="1" t="s">
        <v>10</v>
      </c>
      <c r="H11" s="1" t="s">
        <v>35</v>
      </c>
    </row>
    <row r="12" spans="1:8" x14ac:dyDescent="0.25">
      <c r="A12" s="1" t="s">
        <v>36</v>
      </c>
      <c r="B12">
        <v>1</v>
      </c>
      <c r="C12" s="1" t="s">
        <v>37</v>
      </c>
      <c r="D12" s="1" t="s">
        <v>10</v>
      </c>
      <c r="E12" s="1" t="s">
        <v>10</v>
      </c>
      <c r="F12" s="1" t="s">
        <v>10</v>
      </c>
      <c r="G12" s="1" t="s">
        <v>10</v>
      </c>
      <c r="H12" s="1" t="s">
        <v>35</v>
      </c>
    </row>
    <row r="14" spans="1:8" x14ac:dyDescent="0.25">
      <c r="A14" s="3" t="s">
        <v>42</v>
      </c>
    </row>
    <row r="15" spans="1:8" x14ac:dyDescent="0.25">
      <c r="A15" s="2" t="s">
        <v>40</v>
      </c>
      <c r="B15" s="2">
        <v>5</v>
      </c>
      <c r="C15" s="2">
        <v>14</v>
      </c>
      <c r="D15" s="2">
        <v>30</v>
      </c>
    </row>
    <row r="16" spans="1:8" x14ac:dyDescent="0.25">
      <c r="A16" s="2" t="s">
        <v>38</v>
      </c>
      <c r="B16" s="2">
        <v>100</v>
      </c>
      <c r="C16" s="2">
        <v>100</v>
      </c>
      <c r="D16" s="2">
        <v>100</v>
      </c>
    </row>
    <row r="17" spans="1:5" x14ac:dyDescent="0.25">
      <c r="A17" s="2" t="s">
        <v>39</v>
      </c>
      <c r="B17" s="2">
        <v>100</v>
      </c>
      <c r="C17" s="2">
        <v>56</v>
      </c>
      <c r="D17" s="2">
        <v>10</v>
      </c>
    </row>
    <row r="18" spans="1:5" x14ac:dyDescent="0.25">
      <c r="A18" s="2" t="s">
        <v>41</v>
      </c>
      <c r="B18" s="2">
        <f>+(B15*B17)/(B16+B17)</f>
        <v>2.5</v>
      </c>
      <c r="C18" s="2">
        <f>+(C15*C17)/(C16+C17)</f>
        <v>5.0256410256410255</v>
      </c>
      <c r="D18" s="2">
        <f>+(D15*D17)/(D16+D17)</f>
        <v>2.7272727272727271</v>
      </c>
    </row>
    <row r="19" spans="1:5" x14ac:dyDescent="0.25">
      <c r="A19" s="2" t="s">
        <v>44</v>
      </c>
      <c r="B19" s="2">
        <f>(B17+B16)/B17</f>
        <v>2</v>
      </c>
      <c r="C19" s="2">
        <f>(C17+C16)/C17</f>
        <v>2.7857142857142856</v>
      </c>
      <c r="D19" s="2">
        <f>(D17+D16)/D17</f>
        <v>11</v>
      </c>
      <c r="E19" t="s">
        <v>43</v>
      </c>
    </row>
    <row r="22" spans="1:5" x14ac:dyDescent="0.25">
      <c r="A22" s="4" t="s">
        <v>45</v>
      </c>
    </row>
    <row r="23" spans="1:5" x14ac:dyDescent="0.25">
      <c r="A23" t="s">
        <v>46</v>
      </c>
      <c r="B23">
        <v>5</v>
      </c>
    </row>
    <row r="24" spans="1:5" x14ac:dyDescent="0.25">
      <c r="A24" t="s">
        <v>47</v>
      </c>
      <c r="B24">
        <v>0.1</v>
      </c>
    </row>
    <row r="25" spans="1:5" x14ac:dyDescent="0.25">
      <c r="A25" t="s">
        <v>48</v>
      </c>
      <c r="B25">
        <f>+B24*B23</f>
        <v>0.5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1DD27-79BA-46B6-8237-F6CFD6244AE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3FD87C4-52FA-4100-B922-7CA95D96591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QO-100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m pozzoni</dc:creator>
  <cp:lastModifiedBy>andrea m pozzoni</cp:lastModifiedBy>
  <dcterms:created xsi:type="dcterms:W3CDTF">2026-02-05T09:42:35Z</dcterms:created>
  <dcterms:modified xsi:type="dcterms:W3CDTF">2026-02-05T10:56:08Z</dcterms:modified>
</cp:coreProperties>
</file>