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af41c039634c4/RADIO/Autocostruzione/OSCAR-100/kiCad QO-100_V1/QO-100_V1/"/>
    </mc:Choice>
  </mc:AlternateContent>
  <xr:revisionPtr revIDLastSave="34" documentId="8_{90E38F31-98CC-4F66-AB34-1A90D5790908}" xr6:coauthVersionLast="47" xr6:coauthVersionMax="47" xr10:uidLastSave="{06BAE298-8CB9-4C9B-819A-BC6C4F49D9BE}"/>
  <bookViews>
    <workbookView xWindow="29370" yWindow="450" windowWidth="19455" windowHeight="13545" xr2:uid="{A951B74C-4C17-437E-8CF6-D4C6234DCDCC}"/>
  </bookViews>
  <sheets>
    <sheet name="QO-100" sheetId="2" r:id="rId1"/>
    <sheet name="Sheet1" sheetId="1" r:id="rId2"/>
  </sheets>
  <definedNames>
    <definedName name="_xlnm._FilterDatabase" localSheetId="0" hidden="1">'QO-100'!$A$1:$H$1</definedName>
    <definedName name="ExternalData_1" localSheetId="0" hidden="1">'QO-100'!#REF!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B7" i="1"/>
  <c r="C7" i="1"/>
  <c r="D7" i="1"/>
  <c r="B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F01CF-59F4-41D2-8C5C-492448986341}" keepAlive="1" name="Query - QO-100" description="Connection to the 'QO-100' query in the workbook." type="5" refreshedVersion="8" background="1" saveData="1">
    <dbPr connection="Provider=Microsoft.Mashup.OleDb.1;Data Source=$Workbook$;Location=QO-100;Extended Properties=&quot;&quot;" command="SELECT * FROM [QO-100]"/>
  </connection>
</connections>
</file>

<file path=xl/sharedStrings.xml><?xml version="1.0" encoding="utf-8"?>
<sst xmlns="http://schemas.openxmlformats.org/spreadsheetml/2006/main" count="112" uniqueCount="100">
  <si>
    <t>Footprint</t>
  </si>
  <si>
    <t>100nF</t>
  </si>
  <si>
    <t>~</t>
  </si>
  <si>
    <t>100uF</t>
  </si>
  <si>
    <t>330uF</t>
  </si>
  <si>
    <t>D_Zener 50V-20A</t>
  </si>
  <si>
    <t>Fuse</t>
  </si>
  <si>
    <t>J1</t>
  </si>
  <si>
    <t>J2</t>
  </si>
  <si>
    <t>L7805</t>
  </si>
  <si>
    <t>L7818</t>
  </si>
  <si>
    <t>Rin</t>
  </si>
  <si>
    <t>Rgnd</t>
  </si>
  <si>
    <t>Vin</t>
  </si>
  <si>
    <t>Vout</t>
  </si>
  <si>
    <t>Partitori</t>
  </si>
  <si>
    <t>da mettere a programma</t>
  </si>
  <si>
    <t>Conversion</t>
  </si>
  <si>
    <t>Misura corrente</t>
  </si>
  <si>
    <t>A</t>
  </si>
  <si>
    <t>Shunt ohm</t>
  </si>
  <si>
    <t>V r</t>
  </si>
  <si>
    <t>Id</t>
  </si>
  <si>
    <t>Designator</t>
  </si>
  <si>
    <t>Quantity</t>
  </si>
  <si>
    <t>Designation</t>
  </si>
  <si>
    <t>Supplier and ref</t>
  </si>
  <si>
    <t>ACS1</t>
  </si>
  <si>
    <t>ACS712</t>
  </si>
  <si>
    <t>U1</t>
  </si>
  <si>
    <t>Aosong_DHT11_5.5x12.0_P2.54mm</t>
  </si>
  <si>
    <t>DHT22 air</t>
  </si>
  <si>
    <t>C14,C12,C17</t>
  </si>
  <si>
    <t>C_Disc_D5.0mm_W2.5mm_P5.00mm</t>
  </si>
  <si>
    <t>C16,C11</t>
  </si>
  <si>
    <t>C4,C5,C1,C2,C3</t>
  </si>
  <si>
    <t>C_Disc_D5.1mm_W3.2mm_P5.00mm</t>
  </si>
  <si>
    <t>100n</t>
  </si>
  <si>
    <t>C10,C15,C13,C18</t>
  </si>
  <si>
    <t>CP_Radial_D8.0mm_P3.50mm</t>
  </si>
  <si>
    <t>D2</t>
  </si>
  <si>
    <t>D_DO-27_P15.24mm_Horizontal</t>
  </si>
  <si>
    <t>D3,D6,D1,D4,D5</t>
  </si>
  <si>
    <t>D_DO-35_SOD27_P10.16mm_Horizontal</t>
  </si>
  <si>
    <t>3.3V</t>
  </si>
  <si>
    <t>D9,D11,D8,D10</t>
  </si>
  <si>
    <t>D_DO-35_SOD27_P7.62mm_Horizontal</t>
  </si>
  <si>
    <t>1N4148</t>
  </si>
  <si>
    <t>U7,U8,U3,U9</t>
  </si>
  <si>
    <t>DIP-4_W7.62mm Optoisolatori</t>
  </si>
  <si>
    <t>PC817</t>
  </si>
  <si>
    <t>F2</t>
  </si>
  <si>
    <t>Fuseholder_Clip-5x20mm_Eaton_1A5601-01_Inline_P20.80x6.76mm_D1.70mm_Horizontal</t>
  </si>
  <si>
    <t>J16</t>
  </si>
  <si>
    <t>JST_EH_B2B-EH-A_1x02_P2.50mm_Vertical</t>
  </si>
  <si>
    <t>a-DS18S20</t>
  </si>
  <si>
    <t>J6</t>
  </si>
  <si>
    <t>Bias-T</t>
  </si>
  <si>
    <t>J5</t>
  </si>
  <si>
    <t>GPSDO</t>
  </si>
  <si>
    <t>J4</t>
  </si>
  <si>
    <t>Pluto</t>
  </si>
  <si>
    <t>J7</t>
  </si>
  <si>
    <t>Preamp</t>
  </si>
  <si>
    <t>J3</t>
  </si>
  <si>
    <t>ESP32</t>
  </si>
  <si>
    <t>J17</t>
  </si>
  <si>
    <t>b-DS18S20</t>
  </si>
  <si>
    <t>J13</t>
  </si>
  <si>
    <t>JST_EH_B8B-EH-A_1x08_P2.50mm_Vertical</t>
  </si>
  <si>
    <t>TO ESP32 Measures</t>
  </si>
  <si>
    <t>J18</t>
  </si>
  <si>
    <t>JST_EH_S6B-EH_1x06_P2.50mm_Horizontal</t>
  </si>
  <si>
    <t>FROM ESP32</t>
  </si>
  <si>
    <t>R19,R2,R15,R11,R17</t>
  </si>
  <si>
    <t>R_Axial_DIN0207_L6.3mm_D2.5mm_P10.16mm_Horizontal</t>
  </si>
  <si>
    <t>10k</t>
  </si>
  <si>
    <t>R8,R10,R9,R6,R7</t>
  </si>
  <si>
    <t>120k</t>
  </si>
  <si>
    <t>R3,R5,R1,R4</t>
  </si>
  <si>
    <t>20k</t>
  </si>
  <si>
    <t>R14,R16,R18,R21</t>
  </si>
  <si>
    <t>K6</t>
  </si>
  <si>
    <t>Relay_DPDT_Finder_40.52</t>
  </si>
  <si>
    <t>FINDER-40.52</t>
  </si>
  <si>
    <t>K5,K3,K4</t>
  </si>
  <si>
    <t>Relay_SPDT_Finder_32.21-x000</t>
  </si>
  <si>
    <t>Relay_SPDT</t>
  </si>
  <si>
    <t>TerminalBlock_Phoenix_MKDS-1,5-2_1x02_P5.00mm_Horizontal</t>
  </si>
  <si>
    <t>Conn_01x02</t>
  </si>
  <si>
    <t>J14</t>
  </si>
  <si>
    <t>TerminalBlock_Phoenix_MKDS-1,5-4_1x04_P5.00mm_Horizontal</t>
  </si>
  <si>
    <t>TO PA - measures</t>
  </si>
  <si>
    <t>TO DC/DC</t>
  </si>
  <si>
    <t>U4</t>
  </si>
  <si>
    <t>TO-220-3_Vertical</t>
  </si>
  <si>
    <t>U6</t>
  </si>
  <si>
    <t>Q1,Q4,Q3,Q5</t>
  </si>
  <si>
    <t>TO-92_HandSolder</t>
  </si>
  <si>
    <t>BC557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</si>
</sst>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C875-2037-4A1D-90CA-A3F45354338D}">
  <dimension ref="A1:F33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2" max="2" width="18.28515625" bestFit="1" customWidth="1"/>
    <col min="3" max="3" width="80.5703125" bestFit="1" customWidth="1"/>
    <col min="7" max="8" width="81.140625" bestFit="1" customWidth="1"/>
  </cols>
  <sheetData>
    <row r="1" spans="1:6" x14ac:dyDescent="0.25">
      <c r="A1" t="s">
        <v>22</v>
      </c>
      <c r="B1" t="s">
        <v>23</v>
      </c>
      <c r="C1" t="s">
        <v>0</v>
      </c>
      <c r="D1" t="s">
        <v>24</v>
      </c>
      <c r="E1" t="s">
        <v>25</v>
      </c>
      <c r="F1" t="s">
        <v>26</v>
      </c>
    </row>
    <row r="2" spans="1:6" x14ac:dyDescent="0.25">
      <c r="A2" s="4">
        <v>4</v>
      </c>
      <c r="B2" s="4" t="s">
        <v>27</v>
      </c>
      <c r="C2" s="4" t="s">
        <v>28</v>
      </c>
      <c r="D2" s="4">
        <v>1</v>
      </c>
      <c r="E2" s="4" t="s">
        <v>2</v>
      </c>
      <c r="F2" s="4"/>
    </row>
    <row r="3" spans="1:6" x14ac:dyDescent="0.25">
      <c r="A3" s="4">
        <v>21</v>
      </c>
      <c r="B3" s="4" t="s">
        <v>29</v>
      </c>
      <c r="C3" s="4" t="s">
        <v>30</v>
      </c>
      <c r="D3" s="4">
        <v>1</v>
      </c>
      <c r="E3" s="4" t="s">
        <v>31</v>
      </c>
      <c r="F3" s="4"/>
    </row>
    <row r="4" spans="1:6" x14ac:dyDescent="0.25">
      <c r="A4">
        <v>7</v>
      </c>
      <c r="B4" t="s">
        <v>32</v>
      </c>
      <c r="C4" t="s">
        <v>33</v>
      </c>
      <c r="D4">
        <v>3</v>
      </c>
      <c r="E4" t="s">
        <v>1</v>
      </c>
    </row>
    <row r="5" spans="1:6" x14ac:dyDescent="0.25">
      <c r="A5">
        <v>23</v>
      </c>
      <c r="B5" t="s">
        <v>34</v>
      </c>
      <c r="C5" t="s">
        <v>33</v>
      </c>
      <c r="D5">
        <v>2</v>
      </c>
      <c r="E5" t="s">
        <v>4</v>
      </c>
    </row>
    <row r="6" spans="1:6" x14ac:dyDescent="0.25">
      <c r="A6">
        <v>18</v>
      </c>
      <c r="B6" t="s">
        <v>35</v>
      </c>
      <c r="C6" t="s">
        <v>36</v>
      </c>
      <c r="D6">
        <v>5</v>
      </c>
      <c r="E6" t="s">
        <v>37</v>
      </c>
    </row>
    <row r="7" spans="1:6" x14ac:dyDescent="0.25">
      <c r="A7">
        <v>11</v>
      </c>
      <c r="B7" t="s">
        <v>38</v>
      </c>
      <c r="C7" t="s">
        <v>39</v>
      </c>
      <c r="D7">
        <v>4</v>
      </c>
      <c r="E7" t="s">
        <v>3</v>
      </c>
    </row>
    <row r="8" spans="1:6" x14ac:dyDescent="0.25">
      <c r="A8" s="4">
        <v>27</v>
      </c>
      <c r="B8" s="4" t="s">
        <v>40</v>
      </c>
      <c r="C8" s="4" t="s">
        <v>41</v>
      </c>
      <c r="D8" s="4">
        <v>1</v>
      </c>
      <c r="E8" s="4" t="s">
        <v>5</v>
      </c>
      <c r="F8" s="4"/>
    </row>
    <row r="9" spans="1:6" x14ac:dyDescent="0.25">
      <c r="A9">
        <v>12</v>
      </c>
      <c r="B9" t="s">
        <v>42</v>
      </c>
      <c r="C9" t="s">
        <v>43</v>
      </c>
      <c r="D9">
        <v>5</v>
      </c>
      <c r="E9" t="s">
        <v>44</v>
      </c>
    </row>
    <row r="10" spans="1:6" x14ac:dyDescent="0.25">
      <c r="A10">
        <v>2</v>
      </c>
      <c r="B10" t="s">
        <v>45</v>
      </c>
      <c r="C10" t="s">
        <v>46</v>
      </c>
      <c r="D10">
        <v>4</v>
      </c>
      <c r="E10" t="s">
        <v>47</v>
      </c>
    </row>
    <row r="11" spans="1:6" x14ac:dyDescent="0.25">
      <c r="A11">
        <v>6</v>
      </c>
      <c r="B11" t="s">
        <v>48</v>
      </c>
      <c r="C11" t="s">
        <v>49</v>
      </c>
      <c r="D11">
        <v>4</v>
      </c>
      <c r="E11" t="s">
        <v>50</v>
      </c>
    </row>
    <row r="12" spans="1:6" x14ac:dyDescent="0.25">
      <c r="A12">
        <v>14</v>
      </c>
      <c r="B12" t="s">
        <v>51</v>
      </c>
      <c r="C12" t="s">
        <v>52</v>
      </c>
      <c r="D12">
        <v>1</v>
      </c>
      <c r="E12" t="s">
        <v>6</v>
      </c>
    </row>
    <row r="13" spans="1:6" x14ac:dyDescent="0.25">
      <c r="A13" s="5">
        <v>5</v>
      </c>
      <c r="B13" s="5" t="s">
        <v>53</v>
      </c>
      <c r="C13" s="5" t="s">
        <v>54</v>
      </c>
      <c r="D13" s="5">
        <v>1</v>
      </c>
      <c r="E13" s="5" t="s">
        <v>55</v>
      </c>
      <c r="F13" s="5"/>
    </row>
    <row r="14" spans="1:6" x14ac:dyDescent="0.25">
      <c r="A14" s="5">
        <v>13</v>
      </c>
      <c r="B14" s="5" t="s">
        <v>56</v>
      </c>
      <c r="C14" s="5" t="s">
        <v>54</v>
      </c>
      <c r="D14" s="5">
        <v>1</v>
      </c>
      <c r="E14" s="5" t="s">
        <v>57</v>
      </c>
      <c r="F14" s="5"/>
    </row>
    <row r="15" spans="1:6" x14ac:dyDescent="0.25">
      <c r="A15" s="5">
        <v>19</v>
      </c>
      <c r="B15" s="5" t="s">
        <v>58</v>
      </c>
      <c r="C15" s="5" t="s">
        <v>54</v>
      </c>
      <c r="D15" s="5">
        <v>1</v>
      </c>
      <c r="E15" s="5" t="s">
        <v>59</v>
      </c>
      <c r="F15" s="5"/>
    </row>
    <row r="16" spans="1:6" x14ac:dyDescent="0.25">
      <c r="A16" s="5">
        <v>25</v>
      </c>
      <c r="B16" s="5" t="s">
        <v>60</v>
      </c>
      <c r="C16" s="5" t="s">
        <v>54</v>
      </c>
      <c r="D16" s="5">
        <v>1</v>
      </c>
      <c r="E16" s="5" t="s">
        <v>61</v>
      </c>
      <c r="F16" s="5"/>
    </row>
    <row r="17" spans="1:6" x14ac:dyDescent="0.25">
      <c r="A17" s="5">
        <v>26</v>
      </c>
      <c r="B17" s="5" t="s">
        <v>62</v>
      </c>
      <c r="C17" s="5" t="s">
        <v>54</v>
      </c>
      <c r="D17" s="5">
        <v>1</v>
      </c>
      <c r="E17" s="5" t="s">
        <v>63</v>
      </c>
      <c r="F17" s="5"/>
    </row>
    <row r="18" spans="1:6" x14ac:dyDescent="0.25">
      <c r="A18" s="5">
        <v>29</v>
      </c>
      <c r="B18" s="5" t="s">
        <v>64</v>
      </c>
      <c r="C18" s="5" t="s">
        <v>54</v>
      </c>
      <c r="D18" s="5">
        <v>1</v>
      </c>
      <c r="E18" s="5" t="s">
        <v>65</v>
      </c>
      <c r="F18" s="5"/>
    </row>
    <row r="19" spans="1:6" x14ac:dyDescent="0.25">
      <c r="A19" s="5">
        <v>31</v>
      </c>
      <c r="B19" s="5" t="s">
        <v>66</v>
      </c>
      <c r="C19" s="5" t="s">
        <v>54</v>
      </c>
      <c r="D19" s="5">
        <v>1</v>
      </c>
      <c r="E19" s="5" t="s">
        <v>67</v>
      </c>
      <c r="F19" s="5"/>
    </row>
    <row r="20" spans="1:6" x14ac:dyDescent="0.25">
      <c r="A20" s="6">
        <v>32</v>
      </c>
      <c r="B20" s="6" t="s">
        <v>68</v>
      </c>
      <c r="C20" s="6" t="s">
        <v>69</v>
      </c>
      <c r="D20" s="6">
        <v>1</v>
      </c>
      <c r="E20" s="6" t="s">
        <v>70</v>
      </c>
      <c r="F20" s="6"/>
    </row>
    <row r="21" spans="1:6" x14ac:dyDescent="0.25">
      <c r="A21" s="6">
        <v>24</v>
      </c>
      <c r="B21" s="6" t="s">
        <v>71</v>
      </c>
      <c r="C21" s="6" t="s">
        <v>72</v>
      </c>
      <c r="D21" s="6">
        <v>1</v>
      </c>
      <c r="E21" s="6" t="s">
        <v>73</v>
      </c>
      <c r="F21" s="6"/>
    </row>
    <row r="22" spans="1:6" x14ac:dyDescent="0.25">
      <c r="A22">
        <v>9</v>
      </c>
      <c r="B22" t="s">
        <v>74</v>
      </c>
      <c r="C22" t="s">
        <v>75</v>
      </c>
      <c r="D22">
        <v>5</v>
      </c>
      <c r="E22" t="s">
        <v>76</v>
      </c>
    </row>
    <row r="23" spans="1:6" x14ac:dyDescent="0.25">
      <c r="A23">
        <v>10</v>
      </c>
      <c r="B23" t="s">
        <v>77</v>
      </c>
      <c r="C23" t="s">
        <v>75</v>
      </c>
      <c r="D23">
        <v>5</v>
      </c>
      <c r="E23" t="s">
        <v>78</v>
      </c>
    </row>
    <row r="24" spans="1:6" x14ac:dyDescent="0.25">
      <c r="A24">
        <v>16</v>
      </c>
      <c r="B24" t="s">
        <v>79</v>
      </c>
      <c r="C24" t="s">
        <v>75</v>
      </c>
      <c r="D24">
        <v>4</v>
      </c>
      <c r="E24" t="s">
        <v>80</v>
      </c>
    </row>
    <row r="25" spans="1:6" x14ac:dyDescent="0.25">
      <c r="A25">
        <v>20</v>
      </c>
      <c r="B25" t="s">
        <v>81</v>
      </c>
      <c r="C25" t="s">
        <v>75</v>
      </c>
      <c r="D25">
        <v>4</v>
      </c>
      <c r="E25">
        <v>220</v>
      </c>
    </row>
    <row r="26" spans="1:6" x14ac:dyDescent="0.25">
      <c r="A26">
        <v>8</v>
      </c>
      <c r="B26" t="s">
        <v>82</v>
      </c>
      <c r="C26" t="s">
        <v>83</v>
      </c>
      <c r="D26">
        <v>1</v>
      </c>
      <c r="E26" t="s">
        <v>84</v>
      </c>
    </row>
    <row r="27" spans="1:6" x14ac:dyDescent="0.25">
      <c r="A27">
        <v>3</v>
      </c>
      <c r="B27" t="s">
        <v>85</v>
      </c>
      <c r="C27" t="s">
        <v>86</v>
      </c>
      <c r="D27">
        <v>3</v>
      </c>
      <c r="E27" t="s">
        <v>87</v>
      </c>
    </row>
    <row r="28" spans="1:6" x14ac:dyDescent="0.25">
      <c r="A28">
        <v>15</v>
      </c>
      <c r="B28" t="s">
        <v>7</v>
      </c>
      <c r="C28" t="s">
        <v>88</v>
      </c>
      <c r="D28">
        <v>1</v>
      </c>
      <c r="E28" t="s">
        <v>89</v>
      </c>
    </row>
    <row r="29" spans="1:6" x14ac:dyDescent="0.25">
      <c r="A29">
        <v>17</v>
      </c>
      <c r="B29" t="s">
        <v>90</v>
      </c>
      <c r="C29" t="s">
        <v>91</v>
      </c>
      <c r="D29">
        <v>1</v>
      </c>
      <c r="E29" t="s">
        <v>92</v>
      </c>
    </row>
    <row r="30" spans="1:6" x14ac:dyDescent="0.25">
      <c r="A30">
        <v>28</v>
      </c>
      <c r="B30" t="s">
        <v>8</v>
      </c>
      <c r="C30" t="s">
        <v>91</v>
      </c>
      <c r="D30">
        <v>1</v>
      </c>
      <c r="E30" t="s">
        <v>93</v>
      </c>
    </row>
    <row r="31" spans="1:6" x14ac:dyDescent="0.25">
      <c r="A31">
        <v>22</v>
      </c>
      <c r="B31" t="s">
        <v>94</v>
      </c>
      <c r="C31" t="s">
        <v>95</v>
      </c>
      <c r="D31">
        <v>1</v>
      </c>
      <c r="E31" t="s">
        <v>9</v>
      </c>
    </row>
    <row r="32" spans="1:6" x14ac:dyDescent="0.25">
      <c r="A32">
        <v>30</v>
      </c>
      <c r="B32" t="s">
        <v>96</v>
      </c>
      <c r="C32" t="s">
        <v>95</v>
      </c>
      <c r="D32">
        <v>1</v>
      </c>
      <c r="E32" t="s">
        <v>10</v>
      </c>
    </row>
    <row r="33" spans="1:5" x14ac:dyDescent="0.25">
      <c r="A33">
        <v>1</v>
      </c>
      <c r="B33" t="s">
        <v>97</v>
      </c>
      <c r="C33" t="s">
        <v>98</v>
      </c>
      <c r="D33">
        <v>4</v>
      </c>
      <c r="E33" t="s">
        <v>99</v>
      </c>
    </row>
  </sheetData>
  <autoFilter ref="A1:H1" xr:uid="{A1FCC875-2037-4A1D-90CA-A3F45354338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DD27-79BA-46B6-8237-F6CFD6244AE1}">
  <dimension ref="A2:E13"/>
  <sheetViews>
    <sheetView workbookViewId="0">
      <selection activeCell="D18" sqref="D18"/>
    </sheetView>
  </sheetViews>
  <sheetFormatPr defaultRowHeight="15" x14ac:dyDescent="0.25"/>
  <sheetData>
    <row r="2" spans="1:5" x14ac:dyDescent="0.25">
      <c r="A2" s="2" t="s">
        <v>15</v>
      </c>
    </row>
    <row r="3" spans="1:5" x14ac:dyDescent="0.25">
      <c r="A3" s="1" t="s">
        <v>13</v>
      </c>
      <c r="B3" s="1">
        <v>5</v>
      </c>
      <c r="C3" s="1">
        <v>14</v>
      </c>
      <c r="D3" s="1">
        <v>30</v>
      </c>
    </row>
    <row r="4" spans="1:5" x14ac:dyDescent="0.25">
      <c r="A4" s="1" t="s">
        <v>11</v>
      </c>
      <c r="B4" s="1">
        <v>100</v>
      </c>
      <c r="C4" s="1">
        <v>100</v>
      </c>
      <c r="D4" s="1">
        <v>100</v>
      </c>
    </row>
    <row r="5" spans="1:5" x14ac:dyDescent="0.25">
      <c r="A5" s="1" t="s">
        <v>12</v>
      </c>
      <c r="B5" s="1">
        <v>100</v>
      </c>
      <c r="C5" s="1">
        <v>56</v>
      </c>
      <c r="D5" s="1">
        <v>10</v>
      </c>
    </row>
    <row r="6" spans="1:5" x14ac:dyDescent="0.25">
      <c r="A6" s="1" t="s">
        <v>14</v>
      </c>
      <c r="B6" s="1">
        <f>+(B3*B5)/(B4+B5)</f>
        <v>2.5</v>
      </c>
      <c r="C6" s="1">
        <f>+(C3*C5)/(C4+C5)</f>
        <v>5.0256410256410255</v>
      </c>
      <c r="D6" s="1">
        <f>+(D3*D5)/(D4+D5)</f>
        <v>2.7272727272727271</v>
      </c>
    </row>
    <row r="7" spans="1:5" x14ac:dyDescent="0.25">
      <c r="A7" s="1" t="s">
        <v>17</v>
      </c>
      <c r="B7" s="1">
        <f>(B5+B4)/B5</f>
        <v>2</v>
      </c>
      <c r="C7" s="1">
        <f>(C5+C4)/C5</f>
        <v>2.7857142857142856</v>
      </c>
      <c r="D7" s="1">
        <f>(D5+D4)/D5</f>
        <v>11</v>
      </c>
      <c r="E7" t="s">
        <v>16</v>
      </c>
    </row>
    <row r="10" spans="1:5" x14ac:dyDescent="0.25">
      <c r="A10" s="3" t="s">
        <v>18</v>
      </c>
    </row>
    <row r="11" spans="1:5" x14ac:dyDescent="0.25">
      <c r="A11" t="s">
        <v>19</v>
      </c>
      <c r="B11">
        <v>5</v>
      </c>
    </row>
    <row r="12" spans="1:5" x14ac:dyDescent="0.25">
      <c r="A12" t="s">
        <v>20</v>
      </c>
      <c r="B12">
        <v>0.1</v>
      </c>
    </row>
    <row r="13" spans="1:5" x14ac:dyDescent="0.25">
      <c r="A13" t="s">
        <v>21</v>
      </c>
      <c r="B13">
        <f>+B12*B11</f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D87C4-52FA-4100-B922-7CA95D965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QO-100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 pozzoni</dc:creator>
  <cp:lastModifiedBy>andrea m pozzoni</cp:lastModifiedBy>
  <dcterms:created xsi:type="dcterms:W3CDTF">2026-02-05T09:42:35Z</dcterms:created>
  <dcterms:modified xsi:type="dcterms:W3CDTF">2026-03-13T08:43:08Z</dcterms:modified>
</cp:coreProperties>
</file>